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<sst xmlns="http://schemas.openxmlformats.org/spreadsheetml/2006/main" count="19" uniqueCount="19">
  <si>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Version</t>
  </si>
  <si>
    <t xml:space="preserve">Thickness (mm)</t>
  </si>
  <si>
    <t xml:space="preserve">Mass (g)</t>
  </si>
  <si>
    <t xml:space="preserve">Volume (mm3)</t>
  </si>
  <si>
    <t xml:space="preserve">Peak stress, fine mesh (MPa)</t>
  </si>
  <si>
    <t xml:space="preserve">Min FOS, fine mesh (SolidWorks)</t>
  </si>
  <si>
    <t xml:space="preserve">FOS check = yield / peak stress</t>
  </si>
  <si>
    <t xml:space="preserve">Mass saved vs v1</t>
  </si>
  <si>
    <t xml:space="preserve">Meets min FOS of 1?</t>
  </si>
  <si>
    <t xml:space="preserve">v1 submitted</t>
  </si>
  <si>
    <t xml:space="preserve">v2</t>
  </si>
  <si>
    <t xml:space="preserve">v3 (5 mm, final)</t>
  </si>
  <si>
    <t xml:space="preserve">Inputs</t>
  </si>
  <si>
    <t xml:space="preserve">Yield strength (MPa)</t>
  </si>
  <si>
    <t xml:space="preserve">Required minimum FOS</t>
  </si>
  <si>
    <t xml:space="preserve">Load (N)</t>
  </si>
  <si>
    <t xml:space="preserve">Material</t>
  </si>
  <si>
    <t xml:space="preserve">6061-T6 aluminium</t>
  </si>
  <si>
    <t xml:space="preserve">Coarse mesh, v1 only: peak stress 65.3 MPa, min FOS 4.21167. Fine mesh used for the submission.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</si>
</sst>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26"/>
    <col collapsed="false" customWidth="true" hidden="false" outlineLevel="0" max="7" min="6" style="1" width="30"/>
    <col collapsed="false" customWidth="true" hidden="false" outlineLevel="0" max="8" min="8" style="1" width="18"/>
    <col collapsed="false" customWidth="true" hidden="false" outlineLevel="0" max="9" min="9" style="1" width="2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n">
        <v>10</v>
      </c>
      <c r="C2" s="3" t="n">
        <v>275.41</v>
      </c>
      <c r="D2" s="3" t="n">
        <v>102002.73</v>
      </c>
      <c r="E2" s="3" t="n">
        <v>70.2</v>
      </c>
      <c r="F2" s="3" t="n">
        <v>3.91656</v>
      </c>
      <c r="G2" s="4" t="n">
        <f aca="false">IF(E2="","",$B$7/E2)</f>
        <v>3.91737891737892</v>
      </c>
      <c r="H2" s="5" t="n">
        <f aca="false">IF(C2="","",1-C2/$C$2)</f>
        <v>0</v>
      </c>
      <c r="I2" s="3" t="str">
        <f aca="false">IF(F2="","",IF(F2&gt;=$B$8,"PASS","FAIL"))</f>
        <v>PASS</v>
      </c>
    </row>
    <row r="3" customFormat="false" ht="15" hidden="false" customHeight="true" outlineLevel="0" collapsed="false">
      <c r="A3" s="3" t="s">
        <v>10</v>
      </c>
      <c r="B3" s="3" t="n">
        <v>6</v>
      </c>
      <c r="C3" s="3" t="n">
        <v>165.24</v>
      </c>
      <c r="D3" s="3" t="n">
        <v>61201.64</v>
      </c>
      <c r="E3" s="3" t="n">
        <v>116.6</v>
      </c>
      <c r="F3" s="3" t="n">
        <v>2.3579</v>
      </c>
      <c r="G3" s="4" t="n">
        <f aca="false">IF(E3="","",$B$7/E3)</f>
        <v>2.35849056603774</v>
      </c>
      <c r="H3" s="5" t="n">
        <f aca="false">IF(C3="","",1-C3/$C$2)</f>
        <v>0.400021785701318</v>
      </c>
      <c r="I3" s="3" t="str">
        <f aca="false">IF(F3="","",IF(F3&gt;=$B$8,"PASS","FAIL"))</f>
        <v>PASS</v>
      </c>
    </row>
    <row r="4" customFormat="false" ht="15" hidden="false" customHeight="true" outlineLevel="0" collapsed="false">
      <c r="A4" s="3" t="s">
        <v>11</v>
      </c>
      <c r="B4" s="3" t="n">
        <v>5</v>
      </c>
      <c r="C4" s="3" t="n">
        <v>137.7</v>
      </c>
      <c r="D4" s="3" t="n">
        <v>51001.36</v>
      </c>
      <c r="E4" s="3" t="n">
        <v>140.2</v>
      </c>
      <c r="F4" s="3" t="n">
        <v>1.96184</v>
      </c>
      <c r="G4" s="4" t="n">
        <f aca="false">IF(E4="","",$B$7/E4)</f>
        <v>1.96148359486448</v>
      </c>
      <c r="H4" s="5" t="n">
        <f aca="false">IF(C4="","",1-C4/$C$2)</f>
        <v>0.500018154751099</v>
      </c>
      <c r="I4" s="3" t="str">
        <f aca="false">IF(F4="","",IF(F4&gt;=$B$8,"PASS","FAIL"))</f>
        <v>PASS</v>
      </c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A6" s="2" t="s">
        <v>12</v>
      </c>
      <c r="B6" s="3"/>
      <c r="C6" s="3"/>
      <c r="D6" s="3"/>
      <c r="E6" s="3"/>
      <c r="F6" s="3"/>
      <c r="G6" s="3"/>
      <c r="H6" s="3"/>
      <c r="I6" s="3"/>
    </row>
    <row r="7" customFormat="false" ht="15" hidden="false" customHeight="true" outlineLevel="0" collapsed="false">
      <c r="A7" s="3" t="s">
        <v>13</v>
      </c>
      <c r="B7" s="3" t="n">
        <v>275</v>
      </c>
      <c r="C7" s="3"/>
      <c r="D7" s="3"/>
      <c r="E7" s="3"/>
      <c r="F7" s="3"/>
      <c r="G7" s="3"/>
      <c r="H7" s="3"/>
      <c r="I7" s="3"/>
    </row>
    <row r="8" customFormat="false" ht="15" hidden="false" customHeight="true" outlineLevel="0" collapsed="false">
      <c r="A8" s="3" t="s">
        <v>14</v>
      </c>
      <c r="B8" s="3" t="n">
        <v>1</v>
      </c>
      <c r="C8" s="3"/>
      <c r="D8" s="3"/>
      <c r="E8" s="3"/>
      <c r="F8" s="3"/>
      <c r="G8" s="3"/>
      <c r="H8" s="3"/>
      <c r="I8" s="3"/>
    </row>
    <row r="9" customFormat="false" ht="15" hidden="false" customHeight="true" outlineLevel="0" collapsed="false">
      <c r="A9" s="3" t="s">
        <v>15</v>
      </c>
      <c r="B9" s="3" t="n">
        <v>2000</v>
      </c>
      <c r="C9" s="3"/>
      <c r="D9" s="3"/>
      <c r="E9" s="3"/>
      <c r="F9" s="3"/>
      <c r="G9" s="3"/>
      <c r="H9" s="3"/>
      <c r="I9" s="3"/>
    </row>
    <row r="10" customFormat="false" ht="15" hidden="false" customHeight="true" outlineLevel="0" collapsed="false">
      <c r="A10" s="3" t="s">
        <v>16</v>
      </c>
      <c r="B10" s="3" t="s">
        <v>17</v>
      </c>
      <c r="C10" s="3"/>
      <c r="D10" s="3"/>
      <c r="E10" s="3"/>
      <c r="F10" s="3"/>
      <c r="G10" s="3"/>
      <c r="H10" s="3"/>
      <c r="I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</row>
    <row r="12" customFormat="false" ht="15" hidden="false" customHeight="true" outlineLevel="0" collapsed="false">
      <c r="A12" s="3" t="s">
        <v>18</v>
      </c>
      <c r="B12" s="3"/>
      <c r="C12" s="3"/>
      <c r="D12" s="3"/>
      <c r="E12" s="3"/>
      <c r="F12" s="3"/>
      <c r="G12" s="3"/>
      <c r="H12" s="3"/>
      <c r="I1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2026-10-16T18:20:07Z</dcterms:created>
  <dc:creator>openpyxl</dc:creator>
  <dc:description/>
  <dc:language>en-US</dc:language>
  <cp:lastModifiedBy/>
  <dcterms:modified xsi:type="dcterms:W3CDTF">2026-10-16T18:51:02Z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